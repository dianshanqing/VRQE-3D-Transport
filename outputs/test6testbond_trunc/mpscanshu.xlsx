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\paper1\"/>
    </mc:Choice>
  </mc:AlternateContent>
  <xr:revisionPtr revIDLastSave="0" documentId="13_ncr:1_{7977C2B8-F5C7-4A43-BEBB-C9647B744ACE}" xr6:coauthVersionLast="47" xr6:coauthVersionMax="47" xr10:uidLastSave="{00000000-0000-0000-0000-000000000000}"/>
  <bookViews>
    <workbookView xWindow="-108" yWindow="-108" windowWidth="30936" windowHeight="16776" xr2:uid="{9073EC4B-ACF4-40DF-A9C0-C9CB7256F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9" i="1" l="1"/>
  <c r="J59" i="1" s="1"/>
  <c r="I58" i="1"/>
  <c r="J58" i="1" s="1"/>
  <c r="I57" i="1"/>
  <c r="J57" i="1" s="1"/>
  <c r="I56" i="1"/>
  <c r="J56" i="1" s="1"/>
  <c r="J53" i="1"/>
  <c r="I53" i="1"/>
  <c r="I52" i="1"/>
  <c r="J52" i="1" s="1"/>
  <c r="J51" i="1"/>
  <c r="I51" i="1"/>
  <c r="J50" i="1"/>
  <c r="I50" i="1"/>
  <c r="I47" i="1"/>
  <c r="J47" i="1" s="1"/>
  <c r="I46" i="1"/>
  <c r="J46" i="1" s="1"/>
  <c r="J45" i="1"/>
  <c r="I45" i="1"/>
  <c r="I44" i="1"/>
  <c r="J44" i="1" s="1"/>
  <c r="J41" i="1"/>
  <c r="I41" i="1"/>
  <c r="J40" i="1"/>
  <c r="I40" i="1"/>
  <c r="I39" i="1"/>
  <c r="J39" i="1" s="1"/>
  <c r="I38" i="1"/>
  <c r="J38" i="1" s="1"/>
  <c r="J35" i="1"/>
  <c r="I35" i="1"/>
  <c r="I34" i="1"/>
  <c r="J34" i="1" s="1"/>
  <c r="J33" i="1"/>
  <c r="I33" i="1"/>
  <c r="J32" i="1"/>
  <c r="I32" i="1"/>
  <c r="I29" i="1"/>
  <c r="J29" i="1" s="1"/>
  <c r="I28" i="1"/>
  <c r="J28" i="1" s="1"/>
  <c r="J27" i="1"/>
  <c r="I27" i="1"/>
  <c r="I26" i="1"/>
  <c r="J26" i="1" s="1"/>
  <c r="J23" i="1"/>
  <c r="I23" i="1"/>
  <c r="J22" i="1"/>
  <c r="I22" i="1"/>
  <c r="I21" i="1"/>
  <c r="J21" i="1" s="1"/>
  <c r="I20" i="1"/>
  <c r="J20" i="1" s="1"/>
  <c r="J17" i="1"/>
  <c r="I17" i="1"/>
  <c r="I16" i="1"/>
  <c r="J16" i="1" s="1"/>
  <c r="J15" i="1"/>
  <c r="I15" i="1"/>
  <c r="J14" i="1"/>
  <c r="I14" i="1"/>
  <c r="I11" i="1"/>
  <c r="J11" i="1" s="1"/>
  <c r="I10" i="1"/>
  <c r="J10" i="1" s="1"/>
  <c r="J9" i="1"/>
  <c r="I9" i="1"/>
  <c r="I8" i="1"/>
  <c r="J8" i="1" s="1"/>
  <c r="J5" i="1"/>
  <c r="I5" i="1"/>
  <c r="J4" i="1"/>
  <c r="I4" i="1"/>
  <c r="I3" i="1"/>
  <c r="J3" i="1" s="1"/>
  <c r="I2" i="1"/>
  <c r="J2" i="1" s="1"/>
</calcChain>
</file>

<file path=xl/sharedStrings.xml><?xml version="1.0" encoding="utf-8"?>
<sst xmlns="http://schemas.openxmlformats.org/spreadsheetml/2006/main" count="200" uniqueCount="21">
  <si>
    <t>sum102</t>
    <phoneticPr fontId="1" type="noConversion"/>
  </si>
  <si>
    <t>step</t>
    <phoneticPr fontId="1" type="noConversion"/>
  </si>
  <si>
    <t>histories</t>
    <phoneticPr fontId="1" type="noConversion"/>
  </si>
  <si>
    <t>MC</t>
    <phoneticPr fontId="1" type="noConversion"/>
  </si>
  <si>
    <t>MCSE</t>
    <phoneticPr fontId="1" type="noConversion"/>
  </si>
  <si>
    <t>shots</t>
    <phoneticPr fontId="1" type="noConversion"/>
  </si>
  <si>
    <t>test</t>
    <phoneticPr fontId="1" type="noConversion"/>
  </si>
  <si>
    <t>testSE</t>
    <phoneticPr fontId="1" type="noConversion"/>
  </si>
  <si>
    <t>combineSE</t>
    <phoneticPr fontId="1" type="noConversion"/>
  </si>
  <si>
    <t>σ</t>
    <phoneticPr fontId="1" type="noConversion"/>
  </si>
  <si>
    <t>core</t>
    <phoneticPr fontId="1" type="noConversion"/>
  </si>
  <si>
    <t>elapsed(min)</t>
    <phoneticPr fontId="1" type="noConversion"/>
  </si>
  <si>
    <t>BOND</t>
    <phoneticPr fontId="1" type="noConversion"/>
  </si>
  <si>
    <t>TRUNC</t>
    <phoneticPr fontId="1" type="noConversion"/>
  </si>
  <si>
    <t>ip</t>
  </si>
  <si>
    <t>detect</t>
    <phoneticPr fontId="1" type="noConversion"/>
  </si>
  <si>
    <t>10.119.11.10</t>
    <phoneticPr fontId="1" type="noConversion"/>
  </si>
  <si>
    <t>absorb</t>
    <phoneticPr fontId="1" type="noConversion"/>
  </si>
  <si>
    <t>boundary</t>
    <phoneticPr fontId="1" type="noConversion"/>
  </si>
  <si>
    <t>survive</t>
    <phoneticPr fontId="1" type="noConversion"/>
  </si>
  <si>
    <t>10.119.3.27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</si>
</sst>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00000E+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1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2FF8-D709-4BCD-9694-BFBB4C6184AB}">
  <dimension ref="A1:O59"/>
  <sheetViews>
    <sheetView tabSelected="1" workbookViewId="0">
      <selection activeCell="M26" sqref="M26:M29"/>
    </sheetView>
  </sheetViews>
  <sheetFormatPr defaultRowHeight="14.25" x14ac:dyDescent="0.2"/>
  <cols>
    <col min="3" max="3" width="15.125" customWidth="1"/>
    <col min="4" max="4" width="13.75" customWidth="1"/>
    <col min="5" max="5" width="13.25" customWidth="1"/>
    <col min="7" max="7" width="14.375" customWidth="1"/>
    <col min="8" max="8" width="16" customWidth="1"/>
    <col min="9" max="9" width="13.25" customWidth="1"/>
    <col min="10" max="10" width="10.375" customWidth="1"/>
    <col min="15" max="15" width="13.5" customWidth="1"/>
  </cols>
  <sheetData>
    <row r="1" spans="1:15" ht="15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.75" x14ac:dyDescent="0.2">
      <c r="A2" s="2" t="s">
        <v>15</v>
      </c>
      <c r="B2" s="8">
        <v>6</v>
      </c>
      <c r="C2" s="9">
        <v>4000000</v>
      </c>
      <c r="D2" s="4">
        <v>0</v>
      </c>
      <c r="E2" s="4">
        <v>0</v>
      </c>
      <c r="F2" s="9">
        <v>1500</v>
      </c>
      <c r="G2" s="4">
        <v>0</v>
      </c>
      <c r="H2" s="4">
        <v>0</v>
      </c>
      <c r="I2" s="4">
        <f>SQRT(E2^2 + H2^2)</f>
        <v>0</v>
      </c>
      <c r="J2" s="2" t="e">
        <f>ABS(D2-G2)/I2</f>
        <v>#DIV/0!</v>
      </c>
      <c r="K2" s="7">
        <v>5</v>
      </c>
      <c r="L2" s="9">
        <v>895</v>
      </c>
      <c r="M2" s="7">
        <v>0</v>
      </c>
      <c r="N2" s="6">
        <v>1E-14</v>
      </c>
      <c r="O2" s="7" t="s">
        <v>16</v>
      </c>
    </row>
    <row r="3" spans="1:15" ht="15.75" x14ac:dyDescent="0.2">
      <c r="A3" s="2" t="s">
        <v>17</v>
      </c>
      <c r="B3" s="8"/>
      <c r="C3" s="9"/>
      <c r="D3" s="4">
        <v>5.5091000000000001E-2</v>
      </c>
      <c r="E3" s="4">
        <v>1.141E-4</v>
      </c>
      <c r="F3" s="9"/>
      <c r="G3" s="4">
        <v>0.05</v>
      </c>
      <c r="H3" s="4">
        <v>5.6273143387113702E-3</v>
      </c>
      <c r="I3" s="4">
        <f t="shared" ref="I3:I5" si="0">SQRT(E3^2 + H3^2)</f>
        <v>5.6284709714687683E-3</v>
      </c>
      <c r="J3" s="2">
        <f t="shared" ref="J3:J5" si="1">ABS(D3-G3)/I3</f>
        <v>0.90450852919145197</v>
      </c>
      <c r="K3" s="7"/>
      <c r="L3" s="9"/>
      <c r="M3" s="7"/>
      <c r="N3" s="7"/>
      <c r="O3" s="7"/>
    </row>
    <row r="4" spans="1:15" ht="15.75" x14ac:dyDescent="0.2">
      <c r="A4" s="2" t="s">
        <v>18</v>
      </c>
      <c r="B4" s="8"/>
      <c r="C4" s="9"/>
      <c r="D4" s="4">
        <v>0.15900800000000001</v>
      </c>
      <c r="E4" s="4">
        <v>1.828E-4</v>
      </c>
      <c r="F4" s="9"/>
      <c r="G4" s="4">
        <v>0.167333333333333</v>
      </c>
      <c r="H4" s="4">
        <v>9.6378728250891797E-3</v>
      </c>
      <c r="I4" s="4">
        <f t="shared" si="0"/>
        <v>9.6396062384618442E-3</v>
      </c>
      <c r="J4" s="2">
        <f t="shared" si="1"/>
        <v>0.8636590673294382</v>
      </c>
      <c r="K4" s="7"/>
      <c r="L4" s="9"/>
      <c r="M4" s="7"/>
      <c r="N4" s="7"/>
      <c r="O4" s="7"/>
    </row>
    <row r="5" spans="1:15" ht="15.75" x14ac:dyDescent="0.2">
      <c r="A5" s="2" t="s">
        <v>19</v>
      </c>
      <c r="B5" s="8"/>
      <c r="C5" s="9"/>
      <c r="D5" s="4">
        <v>0.78590199999999999</v>
      </c>
      <c r="E5" s="4">
        <v>2.051E-4</v>
      </c>
      <c r="F5" s="9"/>
      <c r="G5" s="4">
        <v>0.78266666666666596</v>
      </c>
      <c r="H5" s="4">
        <v>1.0648929697565999E-2</v>
      </c>
      <c r="I5" s="4">
        <f t="shared" si="0"/>
        <v>1.0650904642972966E-2</v>
      </c>
      <c r="J5" s="2">
        <f t="shared" si="1"/>
        <v>0.30376136504691886</v>
      </c>
      <c r="K5" s="7"/>
      <c r="L5" s="9"/>
      <c r="M5" s="7"/>
      <c r="N5" s="7"/>
      <c r="O5" s="7"/>
    </row>
    <row r="6" spans="1:15" ht="15.75" x14ac:dyDescent="0.2">
      <c r="A6" s="2"/>
      <c r="B6" s="1"/>
      <c r="C6" s="3"/>
      <c r="D6" s="4"/>
      <c r="E6" s="4"/>
      <c r="F6" s="3"/>
      <c r="G6" s="4"/>
      <c r="H6" s="4"/>
      <c r="I6" s="4"/>
      <c r="J6" s="2"/>
      <c r="K6" s="2"/>
      <c r="L6" s="3"/>
      <c r="M6" s="5"/>
      <c r="N6" s="5"/>
      <c r="O6" s="5"/>
    </row>
    <row r="7" spans="1:15" ht="15.75" x14ac:dyDescent="0.2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</row>
    <row r="8" spans="1:15" ht="15.75" x14ac:dyDescent="0.2">
      <c r="A8" s="2" t="s">
        <v>15</v>
      </c>
      <c r="B8" s="8">
        <v>6</v>
      </c>
      <c r="C8" s="9">
        <v>4000000</v>
      </c>
      <c r="D8" s="4">
        <v>0</v>
      </c>
      <c r="E8" s="4">
        <v>0</v>
      </c>
      <c r="F8" s="9">
        <v>1500</v>
      </c>
      <c r="G8" s="4">
        <v>0</v>
      </c>
      <c r="H8" s="4">
        <v>0</v>
      </c>
      <c r="I8" s="4">
        <f>SQRT(E8^2 + H8^2)</f>
        <v>0</v>
      </c>
      <c r="J8" s="2" t="e">
        <f>ABS(D8-G8)/I8</f>
        <v>#DIV/0!</v>
      </c>
      <c r="K8" s="7">
        <v>5</v>
      </c>
      <c r="L8" s="9">
        <v>466</v>
      </c>
      <c r="M8" s="7">
        <v>512</v>
      </c>
      <c r="N8" s="7">
        <v>0</v>
      </c>
      <c r="O8" s="7" t="s">
        <v>16</v>
      </c>
    </row>
    <row r="9" spans="1:15" ht="15.75" x14ac:dyDescent="0.2">
      <c r="A9" s="2" t="s">
        <v>17</v>
      </c>
      <c r="B9" s="8"/>
      <c r="C9" s="9"/>
      <c r="D9" s="4">
        <v>5.5091000000000001E-2</v>
      </c>
      <c r="E9" s="4">
        <v>1.141E-4</v>
      </c>
      <c r="F9" s="9"/>
      <c r="G9" s="4">
        <v>4.9333333333333299E-2</v>
      </c>
      <c r="H9" s="4">
        <v>5.5916339624809399E-3</v>
      </c>
      <c r="I9" s="4">
        <f t="shared" ref="I9:I11" si="2">SQRT(E9^2 + H9^2)</f>
        <v>5.5927979742138286E-3</v>
      </c>
      <c r="J9" s="2">
        <f t="shared" ref="J9:J11" si="3">ABS(D9-G9)/I9</f>
        <v>1.0294787498516875</v>
      </c>
      <c r="K9" s="7"/>
      <c r="L9" s="9"/>
      <c r="M9" s="7"/>
      <c r="N9" s="7"/>
      <c r="O9" s="7"/>
    </row>
    <row r="10" spans="1:15" ht="15.75" x14ac:dyDescent="0.2">
      <c r="A10" s="2" t="s">
        <v>18</v>
      </c>
      <c r="B10" s="8"/>
      <c r="C10" s="9"/>
      <c r="D10" s="4">
        <v>0.15900800000000001</v>
      </c>
      <c r="E10" s="4">
        <v>1.828E-4</v>
      </c>
      <c r="F10" s="9"/>
      <c r="G10" s="4">
        <v>0.169333333333333</v>
      </c>
      <c r="H10" s="4">
        <v>9.6836479199234101E-3</v>
      </c>
      <c r="I10" s="4">
        <f t="shared" si="2"/>
        <v>9.685373140826169E-3</v>
      </c>
      <c r="J10" s="2">
        <f t="shared" si="3"/>
        <v>1.0660749135011884</v>
      </c>
      <c r="K10" s="7"/>
      <c r="L10" s="9"/>
      <c r="M10" s="7"/>
      <c r="N10" s="7"/>
      <c r="O10" s="7"/>
    </row>
    <row r="11" spans="1:15" ht="15.75" x14ac:dyDescent="0.2">
      <c r="A11" s="2" t="s">
        <v>19</v>
      </c>
      <c r="B11" s="8"/>
      <c r="C11" s="9"/>
      <c r="D11" s="4">
        <v>0.78590199999999999</v>
      </c>
      <c r="E11" s="4">
        <v>2.051E-4</v>
      </c>
      <c r="F11" s="9"/>
      <c r="G11" s="4">
        <v>0.78133333333333299</v>
      </c>
      <c r="H11" s="4">
        <v>1.06724428804766E-2</v>
      </c>
      <c r="I11" s="4">
        <f t="shared" si="2"/>
        <v>1.067441347555151E-2</v>
      </c>
      <c r="J11" s="2">
        <f t="shared" si="3"/>
        <v>0.42800165808931728</v>
      </c>
      <c r="K11" s="7"/>
      <c r="L11" s="9"/>
      <c r="M11" s="7"/>
      <c r="N11" s="7"/>
      <c r="O11" s="7"/>
    </row>
    <row r="12" spans="1:15" ht="15.7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5.75" x14ac:dyDescent="0.2">
      <c r="A13" s="1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8</v>
      </c>
      <c r="J13" s="2" t="s">
        <v>9</v>
      </c>
      <c r="K13" s="2" t="s">
        <v>10</v>
      </c>
      <c r="L13" s="2" t="s">
        <v>11</v>
      </c>
      <c r="M13" s="2" t="s">
        <v>12</v>
      </c>
      <c r="N13" s="2" t="s">
        <v>13</v>
      </c>
      <c r="O13" s="2" t="s">
        <v>14</v>
      </c>
    </row>
    <row r="14" spans="1:15" ht="15.75" x14ac:dyDescent="0.2">
      <c r="A14" s="2" t="s">
        <v>15</v>
      </c>
      <c r="B14" s="8">
        <v>6</v>
      </c>
      <c r="C14" s="9">
        <v>4000000</v>
      </c>
      <c r="D14" s="4">
        <v>0</v>
      </c>
      <c r="E14" s="4">
        <v>0</v>
      </c>
      <c r="F14" s="9">
        <v>1500</v>
      </c>
      <c r="G14" s="4">
        <v>0</v>
      </c>
      <c r="H14" s="4">
        <v>0</v>
      </c>
      <c r="I14" s="4">
        <f>SQRT(E14^2 + H14^2)</f>
        <v>0</v>
      </c>
      <c r="J14" s="2" t="e">
        <f>ABS(D14-G14)/I14</f>
        <v>#DIV/0!</v>
      </c>
      <c r="K14" s="7">
        <v>5</v>
      </c>
      <c r="L14" s="9">
        <v>336</v>
      </c>
      <c r="M14" s="7">
        <v>512</v>
      </c>
      <c r="N14" s="6">
        <v>9.9999999999999998E-13</v>
      </c>
      <c r="O14" s="7" t="s">
        <v>16</v>
      </c>
    </row>
    <row r="15" spans="1:15" ht="15.75" x14ac:dyDescent="0.2">
      <c r="A15" s="2" t="s">
        <v>17</v>
      </c>
      <c r="B15" s="8"/>
      <c r="C15" s="9"/>
      <c r="D15" s="4">
        <v>5.5091000000000001E-2</v>
      </c>
      <c r="E15" s="4">
        <v>1.141E-4</v>
      </c>
      <c r="F15" s="9"/>
      <c r="G15" s="4">
        <v>4.9333333333333299E-2</v>
      </c>
      <c r="H15" s="4">
        <v>5.5916339624809399E-3</v>
      </c>
      <c r="I15" s="4">
        <f t="shared" ref="I15:I17" si="4">SQRT(E15^2 + H15^2)</f>
        <v>5.5927979742138286E-3</v>
      </c>
      <c r="J15" s="2">
        <f t="shared" ref="J15:J17" si="5">ABS(D15-G15)/I15</f>
        <v>1.0294787498516875</v>
      </c>
      <c r="K15" s="7"/>
      <c r="L15" s="9"/>
      <c r="M15" s="7"/>
      <c r="N15" s="7"/>
      <c r="O15" s="7"/>
    </row>
    <row r="16" spans="1:15" ht="15.75" x14ac:dyDescent="0.2">
      <c r="A16" s="2" t="s">
        <v>18</v>
      </c>
      <c r="B16" s="8"/>
      <c r="C16" s="9"/>
      <c r="D16" s="4">
        <v>0.15900800000000001</v>
      </c>
      <c r="E16" s="4">
        <v>1.828E-4</v>
      </c>
      <c r="F16" s="9"/>
      <c r="G16" s="4">
        <v>0.169333333333333</v>
      </c>
      <c r="H16" s="4">
        <v>9.6836479199234101E-3</v>
      </c>
      <c r="I16" s="4">
        <f t="shared" si="4"/>
        <v>9.685373140826169E-3</v>
      </c>
      <c r="J16" s="2">
        <f>ABS(D16-G16)/I16</f>
        <v>1.0660749135011884</v>
      </c>
      <c r="K16" s="7"/>
      <c r="L16" s="9"/>
      <c r="M16" s="7"/>
      <c r="N16" s="7"/>
      <c r="O16" s="7"/>
    </row>
    <row r="17" spans="1:15" ht="15.75" x14ac:dyDescent="0.2">
      <c r="A17" s="2" t="s">
        <v>19</v>
      </c>
      <c r="B17" s="8"/>
      <c r="C17" s="9"/>
      <c r="D17" s="4">
        <v>0.78590199999999999</v>
      </c>
      <c r="E17" s="4">
        <v>2.051E-4</v>
      </c>
      <c r="F17" s="9"/>
      <c r="G17" s="4">
        <v>0.78133333333333299</v>
      </c>
      <c r="H17" s="4">
        <v>1.06724428804766E-2</v>
      </c>
      <c r="I17" s="4">
        <f t="shared" si="4"/>
        <v>1.067441347555151E-2</v>
      </c>
      <c r="J17" s="2">
        <f t="shared" si="5"/>
        <v>0.42800165808931728</v>
      </c>
      <c r="K17" s="7"/>
      <c r="L17" s="9"/>
      <c r="M17" s="7"/>
      <c r="N17" s="7"/>
      <c r="O17" s="7"/>
    </row>
    <row r="19" spans="1:15" ht="15.75" x14ac:dyDescent="0.2">
      <c r="A19" s="1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  <c r="L19" s="2" t="s">
        <v>11</v>
      </c>
      <c r="M19" s="2" t="s">
        <v>12</v>
      </c>
      <c r="N19" s="2" t="s">
        <v>13</v>
      </c>
      <c r="O19" s="2" t="s">
        <v>14</v>
      </c>
    </row>
    <row r="20" spans="1:15" ht="15.75" x14ac:dyDescent="0.2">
      <c r="A20" s="2" t="s">
        <v>15</v>
      </c>
      <c r="B20" s="8">
        <v>6</v>
      </c>
      <c r="C20" s="9">
        <v>4000000</v>
      </c>
      <c r="D20" s="4">
        <v>0</v>
      </c>
      <c r="E20" s="4">
        <v>0</v>
      </c>
      <c r="F20" s="9">
        <v>1500</v>
      </c>
      <c r="G20" s="4">
        <v>0</v>
      </c>
      <c r="H20" s="4">
        <v>0</v>
      </c>
      <c r="I20" s="4">
        <f>SQRT(E20^2 + H20^2)</f>
        <v>0</v>
      </c>
      <c r="J20" s="2" t="e">
        <f>ABS(D20-G20)/I20</f>
        <v>#DIV/0!</v>
      </c>
      <c r="K20" s="7">
        <v>5</v>
      </c>
      <c r="L20" s="9">
        <v>395</v>
      </c>
      <c r="M20" s="7">
        <v>512</v>
      </c>
      <c r="N20" s="6">
        <v>1E-14</v>
      </c>
      <c r="O20" s="7" t="s">
        <v>16</v>
      </c>
    </row>
    <row r="21" spans="1:15" ht="15.75" x14ac:dyDescent="0.2">
      <c r="A21" s="2" t="s">
        <v>17</v>
      </c>
      <c r="B21" s="8"/>
      <c r="C21" s="9"/>
      <c r="D21" s="4">
        <v>5.5091000000000001E-2</v>
      </c>
      <c r="E21" s="4">
        <v>1.141E-4</v>
      </c>
      <c r="F21" s="9"/>
      <c r="G21" s="4">
        <v>4.9333333333333299E-2</v>
      </c>
      <c r="H21" s="4">
        <v>5.5916339624809399E-3</v>
      </c>
      <c r="I21" s="4">
        <f t="shared" ref="I21:I23" si="6">SQRT(E21^2 + H21^2)</f>
        <v>5.5927979742138286E-3</v>
      </c>
      <c r="J21" s="2">
        <f t="shared" ref="J21:J23" si="7">ABS(D21-G21)/I21</f>
        <v>1.0294787498516875</v>
      </c>
      <c r="K21" s="7"/>
      <c r="L21" s="9"/>
      <c r="M21" s="7"/>
      <c r="N21" s="7"/>
      <c r="O21" s="7"/>
    </row>
    <row r="22" spans="1:15" ht="15.75" x14ac:dyDescent="0.2">
      <c r="A22" s="2" t="s">
        <v>18</v>
      </c>
      <c r="B22" s="8"/>
      <c r="C22" s="9"/>
      <c r="D22" s="4">
        <v>0.15900800000000001</v>
      </c>
      <c r="E22" s="4">
        <v>1.828E-4</v>
      </c>
      <c r="F22" s="9"/>
      <c r="G22" s="4">
        <v>0.169333333333333</v>
      </c>
      <c r="H22" s="4">
        <v>9.6836479199234101E-3</v>
      </c>
      <c r="I22" s="4">
        <f t="shared" si="6"/>
        <v>9.685373140826169E-3</v>
      </c>
      <c r="J22" s="2">
        <f t="shared" si="7"/>
        <v>1.0660749135011884</v>
      </c>
      <c r="K22" s="7"/>
      <c r="L22" s="9"/>
      <c r="M22" s="7"/>
      <c r="N22" s="7"/>
      <c r="O22" s="7"/>
    </row>
    <row r="23" spans="1:15" ht="15.75" x14ac:dyDescent="0.2">
      <c r="A23" s="2" t="s">
        <v>19</v>
      </c>
      <c r="B23" s="8"/>
      <c r="C23" s="9"/>
      <c r="D23" s="4">
        <v>0.78590199999999999</v>
      </c>
      <c r="E23" s="4">
        <v>2.051E-4</v>
      </c>
      <c r="F23" s="9"/>
      <c r="G23" s="4">
        <v>0.78133333333333299</v>
      </c>
      <c r="H23" s="4">
        <v>1.06724428804766E-2</v>
      </c>
      <c r="I23" s="4">
        <f t="shared" si="6"/>
        <v>1.067441347555151E-2</v>
      </c>
      <c r="J23" s="2">
        <f t="shared" si="7"/>
        <v>0.42800165808931728</v>
      </c>
      <c r="K23" s="7"/>
      <c r="L23" s="9"/>
      <c r="M23" s="7"/>
      <c r="N23" s="7"/>
      <c r="O23" s="7"/>
    </row>
    <row r="24" spans="1:15" ht="15.75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x14ac:dyDescent="0.2">
      <c r="A25" s="1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2" t="s">
        <v>11</v>
      </c>
      <c r="M25" s="2" t="s">
        <v>12</v>
      </c>
      <c r="N25" s="2" t="s">
        <v>13</v>
      </c>
      <c r="O25" s="2" t="s">
        <v>14</v>
      </c>
    </row>
    <row r="26" spans="1:15" ht="15.75" x14ac:dyDescent="0.2">
      <c r="A26" s="2" t="s">
        <v>15</v>
      </c>
      <c r="B26" s="8">
        <v>6</v>
      </c>
      <c r="C26" s="9">
        <v>4000000</v>
      </c>
      <c r="D26" s="4">
        <v>0</v>
      </c>
      <c r="E26" s="4">
        <v>0</v>
      </c>
      <c r="F26" s="9">
        <v>1500</v>
      </c>
      <c r="G26" s="4">
        <v>0</v>
      </c>
      <c r="H26" s="4">
        <v>0</v>
      </c>
      <c r="I26" s="4">
        <f>SQRT(E26^2 + H26^2)</f>
        <v>0</v>
      </c>
      <c r="J26" s="2" t="e">
        <f>ABS(D26-G26)/I26</f>
        <v>#DIV/0!</v>
      </c>
      <c r="K26" s="7">
        <v>5</v>
      </c>
      <c r="L26" s="9">
        <v>578</v>
      </c>
      <c r="M26" s="7">
        <v>768</v>
      </c>
      <c r="N26" s="7">
        <v>0</v>
      </c>
      <c r="O26" s="7" t="s">
        <v>16</v>
      </c>
    </row>
    <row r="27" spans="1:15" ht="15.75" x14ac:dyDescent="0.2">
      <c r="A27" s="2" t="s">
        <v>17</v>
      </c>
      <c r="B27" s="8"/>
      <c r="C27" s="9"/>
      <c r="D27" s="4">
        <v>5.5091000000000001E-2</v>
      </c>
      <c r="E27" s="4">
        <v>1.141E-4</v>
      </c>
      <c r="F27" s="9"/>
      <c r="G27" s="4">
        <v>4.9333333333333299E-2</v>
      </c>
      <c r="H27" s="4">
        <v>5.5916339624809399E-3</v>
      </c>
      <c r="I27" s="4">
        <f t="shared" ref="I27:I29" si="8">SQRT(E27^2 + H27^2)</f>
        <v>5.5927979742138286E-3</v>
      </c>
      <c r="J27" s="2">
        <f>ABS(D27-G27)/I27</f>
        <v>1.0294787498516875</v>
      </c>
      <c r="K27" s="7"/>
      <c r="L27" s="9"/>
      <c r="M27" s="7"/>
      <c r="N27" s="7"/>
      <c r="O27" s="7"/>
    </row>
    <row r="28" spans="1:15" ht="15.75" x14ac:dyDescent="0.2">
      <c r="A28" s="2" t="s">
        <v>18</v>
      </c>
      <c r="B28" s="8"/>
      <c r="C28" s="9"/>
      <c r="D28" s="4">
        <v>0.15900800000000001</v>
      </c>
      <c r="E28" s="4">
        <v>1.828E-4</v>
      </c>
      <c r="F28" s="9"/>
      <c r="G28" s="4">
        <v>0.16800000000000001</v>
      </c>
      <c r="H28" s="4">
        <v>9.6531860025589403E-3</v>
      </c>
      <c r="I28" s="4">
        <f t="shared" si="8"/>
        <v>9.6549166666522745E-3</v>
      </c>
      <c r="J28" s="2">
        <f t="shared" ref="J28:J29" si="9">ABS(D28-G28)/I28</f>
        <v>0.93133895511061593</v>
      </c>
      <c r="K28" s="7"/>
      <c r="L28" s="9"/>
      <c r="M28" s="7"/>
      <c r="N28" s="7"/>
      <c r="O28" s="7"/>
    </row>
    <row r="29" spans="1:15" ht="15.75" x14ac:dyDescent="0.2">
      <c r="A29" s="2" t="s">
        <v>19</v>
      </c>
      <c r="B29" s="8"/>
      <c r="C29" s="9"/>
      <c r="D29" s="4">
        <v>0.78590199999999999</v>
      </c>
      <c r="E29" s="4">
        <v>2.051E-4</v>
      </c>
      <c r="F29" s="9"/>
      <c r="G29" s="4">
        <v>0.78266666666666596</v>
      </c>
      <c r="H29" s="4">
        <v>1.0648929697565999E-2</v>
      </c>
      <c r="I29" s="4">
        <f t="shared" si="8"/>
        <v>1.0650904642972966E-2</v>
      </c>
      <c r="J29" s="2">
        <f t="shared" si="9"/>
        <v>0.30376136504691886</v>
      </c>
      <c r="K29" s="7"/>
      <c r="L29" s="9"/>
      <c r="M29" s="7"/>
      <c r="N29" s="7"/>
      <c r="O29" s="7"/>
    </row>
    <row r="31" spans="1:15" ht="15.75" x14ac:dyDescent="0.2">
      <c r="A31" s="1" t="s">
        <v>0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2" t="s">
        <v>12</v>
      </c>
      <c r="N31" s="2" t="s">
        <v>13</v>
      </c>
      <c r="O31" s="2" t="s">
        <v>14</v>
      </c>
    </row>
    <row r="32" spans="1:15" ht="15.75" x14ac:dyDescent="0.2">
      <c r="A32" s="2" t="s">
        <v>15</v>
      </c>
      <c r="B32" s="8">
        <v>6</v>
      </c>
      <c r="C32" s="9">
        <v>4000000</v>
      </c>
      <c r="D32" s="4">
        <v>0</v>
      </c>
      <c r="E32" s="4">
        <v>0</v>
      </c>
      <c r="F32" s="9">
        <v>1500</v>
      </c>
      <c r="G32" s="4">
        <v>0</v>
      </c>
      <c r="H32" s="4">
        <v>0</v>
      </c>
      <c r="I32" s="4">
        <f>SQRT(E32^2 + H32^2)</f>
        <v>0</v>
      </c>
      <c r="J32" s="2" t="e">
        <f>ABS(D32-G32)/I32</f>
        <v>#DIV/0!</v>
      </c>
      <c r="K32" s="7">
        <v>5</v>
      </c>
      <c r="L32" s="9">
        <v>571</v>
      </c>
      <c r="M32" s="7">
        <v>768</v>
      </c>
      <c r="N32" s="6">
        <v>1E-14</v>
      </c>
      <c r="O32" s="7" t="s">
        <v>16</v>
      </c>
    </row>
    <row r="33" spans="1:15" ht="15.75" x14ac:dyDescent="0.2">
      <c r="A33" s="2" t="s">
        <v>17</v>
      </c>
      <c r="B33" s="8"/>
      <c r="C33" s="9"/>
      <c r="D33" s="4">
        <v>5.5091000000000001E-2</v>
      </c>
      <c r="E33" s="4">
        <v>1.141E-4</v>
      </c>
      <c r="F33" s="9"/>
      <c r="G33" s="4">
        <v>4.9333333333333299E-2</v>
      </c>
      <c r="H33" s="4">
        <v>5.5916339624809399E-3</v>
      </c>
      <c r="I33" s="4">
        <f t="shared" ref="I33:I35" si="10">SQRT(E33^2 + H33^2)</f>
        <v>5.5927979742138286E-3</v>
      </c>
      <c r="J33" s="2">
        <f>ABS(D33-G33)/I33</f>
        <v>1.0294787498516875</v>
      </c>
      <c r="K33" s="7"/>
      <c r="L33" s="9"/>
      <c r="M33" s="7"/>
      <c r="N33" s="7"/>
      <c r="O33" s="7"/>
    </row>
    <row r="34" spans="1:15" ht="15.75" x14ac:dyDescent="0.2">
      <c r="A34" s="2" t="s">
        <v>18</v>
      </c>
      <c r="B34" s="8"/>
      <c r="C34" s="9"/>
      <c r="D34" s="4">
        <v>0.15900800000000001</v>
      </c>
      <c r="E34" s="4">
        <v>1.828E-4</v>
      </c>
      <c r="F34" s="9"/>
      <c r="G34" s="4">
        <v>0.16800000000000001</v>
      </c>
      <c r="H34" s="4">
        <v>9.6531860025589403E-3</v>
      </c>
      <c r="I34" s="4">
        <f t="shared" si="10"/>
        <v>9.6549166666522745E-3</v>
      </c>
      <c r="J34" s="2">
        <f t="shared" ref="J34:J35" si="11">ABS(D34-G34)/I34</f>
        <v>0.93133895511061593</v>
      </c>
      <c r="K34" s="7"/>
      <c r="L34" s="9"/>
      <c r="M34" s="7"/>
      <c r="N34" s="7"/>
      <c r="O34" s="7"/>
    </row>
    <row r="35" spans="1:15" ht="15.75" x14ac:dyDescent="0.2">
      <c r="A35" s="2" t="s">
        <v>19</v>
      </c>
      <c r="B35" s="8"/>
      <c r="C35" s="9"/>
      <c r="D35" s="4">
        <v>0.78590199999999999</v>
      </c>
      <c r="E35" s="4">
        <v>2.051E-4</v>
      </c>
      <c r="F35" s="9"/>
      <c r="G35" s="4">
        <v>0.78266666666666596</v>
      </c>
      <c r="H35" s="4">
        <v>1.0648929697565999E-2</v>
      </c>
      <c r="I35" s="4">
        <f t="shared" si="10"/>
        <v>1.0650904642972966E-2</v>
      </c>
      <c r="J35" s="2">
        <f t="shared" si="11"/>
        <v>0.30376136504691886</v>
      </c>
      <c r="K35" s="7"/>
      <c r="L35" s="9"/>
      <c r="M35" s="7"/>
      <c r="N35" s="7"/>
      <c r="O35" s="7"/>
    </row>
    <row r="37" spans="1:15" ht="15.75" x14ac:dyDescent="0.2">
      <c r="A37" s="1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  <c r="M37" s="2" t="s">
        <v>12</v>
      </c>
      <c r="N37" s="2" t="s">
        <v>13</v>
      </c>
      <c r="O37" s="2" t="s">
        <v>14</v>
      </c>
    </row>
    <row r="38" spans="1:15" ht="15.75" x14ac:dyDescent="0.2">
      <c r="A38" s="2" t="s">
        <v>15</v>
      </c>
      <c r="B38" s="8">
        <v>6</v>
      </c>
      <c r="C38" s="9">
        <v>4000000</v>
      </c>
      <c r="D38" s="4">
        <v>0</v>
      </c>
      <c r="E38" s="4">
        <v>0</v>
      </c>
      <c r="F38" s="9">
        <v>1500</v>
      </c>
      <c r="G38" s="4">
        <v>0</v>
      </c>
      <c r="H38" s="4">
        <v>0</v>
      </c>
      <c r="I38" s="4">
        <f>SQRT(E38^2 + H38^2)</f>
        <v>0</v>
      </c>
      <c r="J38" s="2" t="e">
        <f>ABS(D38-G38)/I38</f>
        <v>#DIV/0!</v>
      </c>
      <c r="K38" s="7">
        <v>5</v>
      </c>
      <c r="L38" s="9">
        <v>869</v>
      </c>
      <c r="M38" s="7">
        <v>1024</v>
      </c>
      <c r="N38" s="7">
        <v>0</v>
      </c>
      <c r="O38" s="7" t="s">
        <v>16</v>
      </c>
    </row>
    <row r="39" spans="1:15" ht="15.75" x14ac:dyDescent="0.2">
      <c r="A39" s="2" t="s">
        <v>17</v>
      </c>
      <c r="B39" s="8"/>
      <c r="C39" s="9"/>
      <c r="D39" s="4">
        <v>5.5091000000000001E-2</v>
      </c>
      <c r="E39" s="4">
        <v>1.141E-4</v>
      </c>
      <c r="F39" s="9"/>
      <c r="G39" s="4">
        <v>0.05</v>
      </c>
      <c r="H39" s="4">
        <v>5.6273143387113702E-3</v>
      </c>
      <c r="I39" s="4">
        <f t="shared" ref="I39:I41" si="12">SQRT(E39^2 + H39^2)</f>
        <v>5.6284709714687683E-3</v>
      </c>
      <c r="J39" s="2">
        <f t="shared" ref="J39:J41" si="13">ABS(D39-G39)/I39</f>
        <v>0.90450852919145197</v>
      </c>
      <c r="K39" s="7"/>
      <c r="L39" s="9"/>
      <c r="M39" s="7"/>
      <c r="N39" s="7"/>
      <c r="O39" s="7"/>
    </row>
    <row r="40" spans="1:15" ht="15.75" x14ac:dyDescent="0.2">
      <c r="A40" s="2" t="s">
        <v>18</v>
      </c>
      <c r="B40" s="8"/>
      <c r="C40" s="9"/>
      <c r="D40" s="4">
        <v>0.15900800000000001</v>
      </c>
      <c r="E40" s="4">
        <v>1.828E-4</v>
      </c>
      <c r="F40" s="9"/>
      <c r="G40" s="4">
        <v>0.16666666666666599</v>
      </c>
      <c r="H40" s="4">
        <v>9.6225044864937607E-3</v>
      </c>
      <c r="I40" s="4">
        <f t="shared" si="12"/>
        <v>9.6242406678445306E-3</v>
      </c>
      <c r="J40" s="2">
        <f t="shared" si="13"/>
        <v>0.79576840719021991</v>
      </c>
      <c r="K40" s="7"/>
      <c r="L40" s="9"/>
      <c r="M40" s="7"/>
      <c r="N40" s="7"/>
      <c r="O40" s="7"/>
    </row>
    <row r="41" spans="1:15" ht="15.75" x14ac:dyDescent="0.2">
      <c r="A41" s="2" t="s">
        <v>19</v>
      </c>
      <c r="B41" s="8"/>
      <c r="C41" s="9"/>
      <c r="D41" s="4">
        <v>0.78590199999999999</v>
      </c>
      <c r="E41" s="4">
        <v>2.051E-4</v>
      </c>
      <c r="F41" s="9"/>
      <c r="G41" s="4">
        <v>0.78333333333333299</v>
      </c>
      <c r="H41" s="4">
        <v>1.06371118330187E-2</v>
      </c>
      <c r="I41" s="4">
        <f t="shared" si="12"/>
        <v>1.0639088972188664E-2</v>
      </c>
      <c r="J41" s="2">
        <f t="shared" si="13"/>
        <v>0.24143671261530703</v>
      </c>
      <c r="K41" s="7"/>
      <c r="L41" s="9"/>
      <c r="M41" s="7"/>
      <c r="N41" s="7"/>
      <c r="O41" s="7"/>
    </row>
    <row r="43" spans="1:15" ht="15.75" x14ac:dyDescent="0.2">
      <c r="A43" s="1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2" t="s">
        <v>13</v>
      </c>
      <c r="O43" s="2" t="s">
        <v>14</v>
      </c>
    </row>
    <row r="44" spans="1:15" ht="15.75" x14ac:dyDescent="0.2">
      <c r="A44" s="2" t="s">
        <v>15</v>
      </c>
      <c r="B44" s="8">
        <v>6</v>
      </c>
      <c r="C44" s="9">
        <v>4000000</v>
      </c>
      <c r="D44" s="4">
        <v>0</v>
      </c>
      <c r="E44" s="4">
        <v>0</v>
      </c>
      <c r="F44" s="9">
        <v>1500</v>
      </c>
      <c r="G44" s="4">
        <v>0</v>
      </c>
      <c r="H44" s="4">
        <v>0</v>
      </c>
      <c r="I44" s="4">
        <f>SQRT(E44^2 + H44^2)</f>
        <v>0</v>
      </c>
      <c r="J44" s="2" t="e">
        <f>ABS(D44-G44)/I44</f>
        <v>#DIV/0!</v>
      </c>
      <c r="K44" s="7">
        <v>5</v>
      </c>
      <c r="L44" s="9">
        <v>821</v>
      </c>
      <c r="M44" s="7">
        <v>1024</v>
      </c>
      <c r="N44" s="6">
        <v>9.9999999999999998E-13</v>
      </c>
      <c r="O44" s="7" t="s">
        <v>16</v>
      </c>
    </row>
    <row r="45" spans="1:15" ht="15.75" x14ac:dyDescent="0.2">
      <c r="A45" s="2" t="s">
        <v>17</v>
      </c>
      <c r="B45" s="8"/>
      <c r="C45" s="9"/>
      <c r="D45" s="4">
        <v>5.5091000000000001E-2</v>
      </c>
      <c r="E45" s="4">
        <v>1.141E-4</v>
      </c>
      <c r="F45" s="9"/>
      <c r="G45" s="4">
        <v>0.05</v>
      </c>
      <c r="H45" s="4">
        <v>5.6273143387113702E-3</v>
      </c>
      <c r="I45" s="4">
        <f t="shared" ref="I45:I47" si="14">SQRT(E45^2 + H45^2)</f>
        <v>5.6284709714687683E-3</v>
      </c>
      <c r="J45" s="2">
        <f t="shared" ref="J45:J47" si="15">ABS(D45-G45)/I45</f>
        <v>0.90450852919145197</v>
      </c>
      <c r="K45" s="7"/>
      <c r="L45" s="9"/>
      <c r="M45" s="7"/>
      <c r="N45" s="7"/>
      <c r="O45" s="7"/>
    </row>
    <row r="46" spans="1:15" ht="15.75" x14ac:dyDescent="0.2">
      <c r="A46" s="2" t="s">
        <v>18</v>
      </c>
      <c r="B46" s="8"/>
      <c r="C46" s="9"/>
      <c r="D46" s="4">
        <v>0.15900800000000001</v>
      </c>
      <c r="E46" s="4">
        <v>1.828E-4</v>
      </c>
      <c r="F46" s="9"/>
      <c r="G46" s="4">
        <v>0.16666666666666599</v>
      </c>
      <c r="H46" s="4">
        <v>9.6225044864937607E-3</v>
      </c>
      <c r="I46" s="4">
        <f t="shared" si="14"/>
        <v>9.6242406678445306E-3</v>
      </c>
      <c r="J46" s="2">
        <f t="shared" si="15"/>
        <v>0.79576840719021991</v>
      </c>
      <c r="K46" s="7"/>
      <c r="L46" s="9"/>
      <c r="M46" s="7"/>
      <c r="N46" s="7"/>
      <c r="O46" s="7"/>
    </row>
    <row r="47" spans="1:15" ht="15.75" x14ac:dyDescent="0.2">
      <c r="A47" s="2" t="s">
        <v>19</v>
      </c>
      <c r="B47" s="8"/>
      <c r="C47" s="9"/>
      <c r="D47" s="4">
        <v>0.78590199999999999</v>
      </c>
      <c r="E47" s="4">
        <v>2.051E-4</v>
      </c>
      <c r="F47" s="9"/>
      <c r="G47" s="4">
        <v>0.78333333333333299</v>
      </c>
      <c r="H47" s="4">
        <v>1.06371118330187E-2</v>
      </c>
      <c r="I47" s="4">
        <f t="shared" si="14"/>
        <v>1.0639088972188664E-2</v>
      </c>
      <c r="J47" s="2">
        <f t="shared" si="15"/>
        <v>0.24143671261530703</v>
      </c>
      <c r="K47" s="7"/>
      <c r="L47" s="9"/>
      <c r="M47" s="7"/>
      <c r="N47" s="7"/>
      <c r="O47" s="7"/>
    </row>
    <row r="48" spans="1:15" ht="15.75" x14ac:dyDescent="0.2">
      <c r="A48" s="2"/>
      <c r="B48" s="1"/>
      <c r="C48" s="3"/>
      <c r="D48" s="4"/>
      <c r="E48" s="4"/>
      <c r="F48" s="3"/>
      <c r="G48" s="4"/>
      <c r="H48" s="4"/>
      <c r="I48" s="4"/>
      <c r="J48" s="2"/>
      <c r="K48" s="2"/>
      <c r="L48" s="3"/>
      <c r="M48" s="2"/>
      <c r="N48" s="2"/>
      <c r="O48" s="2"/>
    </row>
    <row r="49" spans="1:15" ht="15.75" x14ac:dyDescent="0.2">
      <c r="A49" s="1" t="s">
        <v>0</v>
      </c>
      <c r="B49" s="2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2" t="s">
        <v>8</v>
      </c>
      <c r="J49" s="2" t="s">
        <v>9</v>
      </c>
      <c r="K49" s="2" t="s">
        <v>10</v>
      </c>
      <c r="L49" s="2" t="s">
        <v>11</v>
      </c>
      <c r="M49" s="2" t="s">
        <v>12</v>
      </c>
      <c r="N49" s="2" t="s">
        <v>13</v>
      </c>
      <c r="O49" s="2" t="s">
        <v>14</v>
      </c>
    </row>
    <row r="50" spans="1:15" ht="15.75" x14ac:dyDescent="0.2">
      <c r="A50" s="2" t="s">
        <v>15</v>
      </c>
      <c r="B50" s="8">
        <v>6</v>
      </c>
      <c r="C50" s="9">
        <v>4000000</v>
      </c>
      <c r="D50" s="4">
        <v>0</v>
      </c>
      <c r="E50" s="4">
        <v>0</v>
      </c>
      <c r="F50" s="9">
        <v>1500</v>
      </c>
      <c r="G50" s="4">
        <v>0</v>
      </c>
      <c r="H50" s="4">
        <v>0</v>
      </c>
      <c r="I50" s="4">
        <f>SQRT(E50^2 + H50^2)</f>
        <v>0</v>
      </c>
      <c r="J50" s="2" t="e">
        <f>ABS(D50-G50)/I50</f>
        <v>#DIV/0!</v>
      </c>
      <c r="K50" s="7">
        <v>5</v>
      </c>
      <c r="L50" s="9">
        <v>855</v>
      </c>
      <c r="M50" s="7">
        <v>1024</v>
      </c>
      <c r="N50" s="6">
        <v>1E-14</v>
      </c>
      <c r="O50" s="7" t="s">
        <v>16</v>
      </c>
    </row>
    <row r="51" spans="1:15" ht="15.75" x14ac:dyDescent="0.2">
      <c r="A51" s="2" t="s">
        <v>17</v>
      </c>
      <c r="B51" s="8"/>
      <c r="C51" s="9"/>
      <c r="D51" s="4">
        <v>5.5091000000000001E-2</v>
      </c>
      <c r="E51" s="4">
        <v>1.141E-4</v>
      </c>
      <c r="F51" s="9"/>
      <c r="G51" s="4">
        <v>0.05</v>
      </c>
      <c r="H51" s="4">
        <v>5.6273143387113702E-3</v>
      </c>
      <c r="I51" s="4">
        <f t="shared" ref="I51:I53" si="16">SQRT(E51^2 + H51^2)</f>
        <v>5.6284709714687683E-3</v>
      </c>
      <c r="J51" s="2">
        <f t="shared" ref="J51:J53" si="17">ABS(D51-G51)/I51</f>
        <v>0.90450852919145197</v>
      </c>
      <c r="K51" s="7"/>
      <c r="L51" s="9"/>
      <c r="M51" s="7"/>
      <c r="N51" s="7"/>
      <c r="O51" s="7"/>
    </row>
    <row r="52" spans="1:15" ht="15.75" x14ac:dyDescent="0.2">
      <c r="A52" s="2" t="s">
        <v>18</v>
      </c>
      <c r="B52" s="8"/>
      <c r="C52" s="9"/>
      <c r="D52" s="4">
        <v>0.15900800000000001</v>
      </c>
      <c r="E52" s="4">
        <v>1.828E-4</v>
      </c>
      <c r="F52" s="9"/>
      <c r="G52" s="4">
        <v>0.16666666666666599</v>
      </c>
      <c r="H52" s="4">
        <v>9.6225044864937607E-3</v>
      </c>
      <c r="I52" s="4">
        <f t="shared" si="16"/>
        <v>9.6242406678445306E-3</v>
      </c>
      <c r="J52" s="2">
        <f t="shared" si="17"/>
        <v>0.79576840719021991</v>
      </c>
      <c r="K52" s="7"/>
      <c r="L52" s="9"/>
      <c r="M52" s="7"/>
      <c r="N52" s="7"/>
      <c r="O52" s="7"/>
    </row>
    <row r="53" spans="1:15" ht="15.75" x14ac:dyDescent="0.2">
      <c r="A53" s="2" t="s">
        <v>19</v>
      </c>
      <c r="B53" s="8"/>
      <c r="C53" s="9"/>
      <c r="D53" s="4">
        <v>0.78590199999999999</v>
      </c>
      <c r="E53" s="4">
        <v>2.051E-4</v>
      </c>
      <c r="F53" s="9"/>
      <c r="G53" s="4">
        <v>0.78333333333333299</v>
      </c>
      <c r="H53" s="4">
        <v>1.06371118330187E-2</v>
      </c>
      <c r="I53" s="4">
        <f t="shared" si="16"/>
        <v>1.0639088972188664E-2</v>
      </c>
      <c r="J53" s="2">
        <f t="shared" si="17"/>
        <v>0.24143671261530703</v>
      </c>
      <c r="K53" s="7"/>
      <c r="L53" s="9"/>
      <c r="M53" s="7"/>
      <c r="N53" s="7"/>
      <c r="O53" s="7"/>
    </row>
    <row r="54" spans="1:15" ht="15.75" x14ac:dyDescent="0.2">
      <c r="A54" s="2"/>
      <c r="B54" s="1"/>
      <c r="C54" s="3"/>
      <c r="D54" s="4"/>
      <c r="E54" s="4"/>
      <c r="F54" s="3"/>
      <c r="G54" s="4"/>
      <c r="H54" s="4"/>
      <c r="I54" s="4"/>
      <c r="J54" s="2"/>
      <c r="K54" s="2"/>
      <c r="L54" s="3"/>
      <c r="M54" s="2"/>
      <c r="N54" s="2"/>
      <c r="O54" s="2"/>
    </row>
    <row r="55" spans="1:15" ht="15.75" x14ac:dyDescent="0.2">
      <c r="A55" s="1" t="s">
        <v>0</v>
      </c>
      <c r="B55" s="2" t="s">
        <v>1</v>
      </c>
      <c r="C55" s="2" t="s">
        <v>2</v>
      </c>
      <c r="D55" s="2" t="s">
        <v>3</v>
      </c>
      <c r="E55" s="2" t="s">
        <v>4</v>
      </c>
      <c r="F55" s="2" t="s">
        <v>5</v>
      </c>
      <c r="G55" s="2" t="s">
        <v>6</v>
      </c>
      <c r="H55" s="2" t="s">
        <v>7</v>
      </c>
      <c r="I55" s="2" t="s">
        <v>8</v>
      </c>
      <c r="J55" s="2" t="s">
        <v>9</v>
      </c>
      <c r="K55" s="2" t="s">
        <v>10</v>
      </c>
      <c r="L55" s="2" t="s">
        <v>11</v>
      </c>
      <c r="M55" s="2" t="s">
        <v>12</v>
      </c>
      <c r="N55" s="2" t="s">
        <v>13</v>
      </c>
      <c r="O55" s="2" t="s">
        <v>14</v>
      </c>
    </row>
    <row r="56" spans="1:15" ht="15.75" x14ac:dyDescent="0.2">
      <c r="A56" s="2" t="s">
        <v>15</v>
      </c>
      <c r="B56" s="8">
        <v>6</v>
      </c>
      <c r="C56" s="9">
        <v>4000000</v>
      </c>
      <c r="D56" s="4">
        <v>0</v>
      </c>
      <c r="E56" s="4">
        <v>0</v>
      </c>
      <c r="F56" s="9">
        <v>1500</v>
      </c>
      <c r="G56" s="4">
        <v>0</v>
      </c>
      <c r="H56" s="4">
        <v>0</v>
      </c>
      <c r="I56" s="4">
        <f>SQRT(E56^2 + H56^2)</f>
        <v>0</v>
      </c>
      <c r="J56" s="2" t="e">
        <f>ABS(D56-G56)/I56</f>
        <v>#DIV/0!</v>
      </c>
      <c r="K56" s="7">
        <v>5</v>
      </c>
      <c r="L56" s="9">
        <v>894</v>
      </c>
      <c r="M56" s="7">
        <v>1536</v>
      </c>
      <c r="N56" s="6">
        <v>1E-14</v>
      </c>
      <c r="O56" s="7" t="s">
        <v>20</v>
      </c>
    </row>
    <row r="57" spans="1:15" ht="15.75" x14ac:dyDescent="0.2">
      <c r="A57" s="2" t="s">
        <v>17</v>
      </c>
      <c r="B57" s="8"/>
      <c r="C57" s="9"/>
      <c r="D57" s="4">
        <v>5.5091000000000001E-2</v>
      </c>
      <c r="E57" s="4">
        <v>1.141E-4</v>
      </c>
      <c r="F57" s="9"/>
      <c r="G57" s="4">
        <v>0.05</v>
      </c>
      <c r="H57" s="4">
        <v>5.6273143387113702E-3</v>
      </c>
      <c r="I57" s="4">
        <f t="shared" ref="I57:I59" si="18">SQRT(E57^2 + H57^2)</f>
        <v>5.6284709714687683E-3</v>
      </c>
      <c r="J57" s="2">
        <f t="shared" ref="J57:J59" si="19">ABS(D57-G57)/I57</f>
        <v>0.90450852919145197</v>
      </c>
      <c r="K57" s="7"/>
      <c r="L57" s="9"/>
      <c r="M57" s="7"/>
      <c r="N57" s="7"/>
      <c r="O57" s="7"/>
    </row>
    <row r="58" spans="1:15" ht="15.75" x14ac:dyDescent="0.2">
      <c r="A58" s="2" t="s">
        <v>18</v>
      </c>
      <c r="B58" s="8"/>
      <c r="C58" s="9"/>
      <c r="D58" s="4">
        <v>0.15900800000000001</v>
      </c>
      <c r="E58" s="4">
        <v>1.828E-4</v>
      </c>
      <c r="F58" s="9"/>
      <c r="G58" s="4">
        <v>0.16666666666666599</v>
      </c>
      <c r="H58" s="4">
        <v>9.6225044864937607E-3</v>
      </c>
      <c r="I58" s="4">
        <f t="shared" si="18"/>
        <v>9.6242406678445306E-3</v>
      </c>
      <c r="J58" s="2">
        <f t="shared" si="19"/>
        <v>0.79576840719021991</v>
      </c>
      <c r="K58" s="7"/>
      <c r="L58" s="9"/>
      <c r="M58" s="7"/>
      <c r="N58" s="7"/>
      <c r="O58" s="7"/>
    </row>
    <row r="59" spans="1:15" ht="15.75" x14ac:dyDescent="0.2">
      <c r="A59" s="2" t="s">
        <v>19</v>
      </c>
      <c r="B59" s="8"/>
      <c r="C59" s="9"/>
      <c r="D59" s="4">
        <v>0.78590199999999999</v>
      </c>
      <c r="E59" s="4">
        <v>2.051E-4</v>
      </c>
      <c r="F59" s="9"/>
      <c r="G59" s="4">
        <v>0.78333333333333299</v>
      </c>
      <c r="H59" s="4">
        <v>1.06371118330187E-2</v>
      </c>
      <c r="I59" s="4">
        <f t="shared" si="18"/>
        <v>1.0639088972188664E-2</v>
      </c>
      <c r="J59" s="2">
        <f t="shared" si="19"/>
        <v>0.24143671261530703</v>
      </c>
      <c r="K59" s="7"/>
      <c r="L59" s="9"/>
      <c r="M59" s="7"/>
      <c r="N59" s="7"/>
      <c r="O59" s="7"/>
    </row>
  </sheetData>
  <mergeCells count="80">
    <mergeCell ref="N2:N5"/>
    <mergeCell ref="O2:O5"/>
    <mergeCell ref="B8:B11"/>
    <mergeCell ref="C8:C11"/>
    <mergeCell ref="F8:F11"/>
    <mergeCell ref="K8:K11"/>
    <mergeCell ref="L8:L11"/>
    <mergeCell ref="M8:M11"/>
    <mergeCell ref="N8:N11"/>
    <mergeCell ref="O8:O11"/>
    <mergeCell ref="B2:B5"/>
    <mergeCell ref="C2:C5"/>
    <mergeCell ref="F2:F5"/>
    <mergeCell ref="K2:K5"/>
    <mergeCell ref="L2:L5"/>
    <mergeCell ref="M2:M5"/>
    <mergeCell ref="N14:N17"/>
    <mergeCell ref="O14:O17"/>
    <mergeCell ref="B20:B23"/>
    <mergeCell ref="C20:C23"/>
    <mergeCell ref="F20:F23"/>
    <mergeCell ref="K20:K23"/>
    <mergeCell ref="L20:L23"/>
    <mergeCell ref="M20:M23"/>
    <mergeCell ref="N20:N23"/>
    <mergeCell ref="O20:O23"/>
    <mergeCell ref="B14:B17"/>
    <mergeCell ref="C14:C17"/>
    <mergeCell ref="F14:F17"/>
    <mergeCell ref="K14:K17"/>
    <mergeCell ref="L14:L17"/>
    <mergeCell ref="M14:M17"/>
    <mergeCell ref="N26:N29"/>
    <mergeCell ref="O26:O29"/>
    <mergeCell ref="B32:B35"/>
    <mergeCell ref="C32:C35"/>
    <mergeCell ref="F32:F35"/>
    <mergeCell ref="K32:K35"/>
    <mergeCell ref="L32:L35"/>
    <mergeCell ref="M32:M35"/>
    <mergeCell ref="N32:N35"/>
    <mergeCell ref="O32:O35"/>
    <mergeCell ref="B26:B29"/>
    <mergeCell ref="C26:C29"/>
    <mergeCell ref="F26:F29"/>
    <mergeCell ref="K26:K29"/>
    <mergeCell ref="L26:L29"/>
    <mergeCell ref="M26:M29"/>
    <mergeCell ref="N38:N41"/>
    <mergeCell ref="O38:O41"/>
    <mergeCell ref="B44:B47"/>
    <mergeCell ref="C44:C47"/>
    <mergeCell ref="F44:F47"/>
    <mergeCell ref="K44:K47"/>
    <mergeCell ref="L44:L47"/>
    <mergeCell ref="M44:M47"/>
    <mergeCell ref="N44:N47"/>
    <mergeCell ref="O44:O47"/>
    <mergeCell ref="B38:B41"/>
    <mergeCell ref="C38:C41"/>
    <mergeCell ref="F38:F41"/>
    <mergeCell ref="K38:K41"/>
    <mergeCell ref="L38:L41"/>
    <mergeCell ref="M38:M41"/>
    <mergeCell ref="N50:N53"/>
    <mergeCell ref="O50:O53"/>
    <mergeCell ref="B56:B59"/>
    <mergeCell ref="C56:C59"/>
    <mergeCell ref="F56:F59"/>
    <mergeCell ref="K56:K59"/>
    <mergeCell ref="L56:L59"/>
    <mergeCell ref="M56:M59"/>
    <mergeCell ref="N56:N59"/>
    <mergeCell ref="O56:O59"/>
    <mergeCell ref="B50:B53"/>
    <mergeCell ref="C50:C53"/>
    <mergeCell ref="F50:F53"/>
    <mergeCell ref="K50:K53"/>
    <mergeCell ref="L50:L53"/>
    <mergeCell ref="M50:M5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Wang</dc:creator>
  <cp:lastModifiedBy>Yu Wang</cp:lastModifiedBy>
  <dcterms:created xsi:type="dcterms:W3CDTF">2026-03-21T08:17:26Z</dcterms:created>
  <dcterms:modified xsi:type="dcterms:W3CDTF">2026-03-21T09:29:33Z</dcterms:modified>
</cp:coreProperties>
</file>